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Danh sách học viên" sheetId="1" state="visible" r:id="rId1"/>
    <sheet name="Thống kê" sheetId="2" state="visible" r:id="rId2"/>
  </sheets>
  <definedNames>
    <definedName name="_xlnm._FilterDatabase" localSheetId="0" hidden="1">'Danh sách học viên'!$A$1:$J$13</definedName>
    <definedName name="_xlnm._FilterDatabase" localSheetId="0" hidden="1">'Danh sách học viên'!$A$1:$J$13</definedName>
  </definedName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<sst xmlns="http://schemas.openxmlformats.org/spreadsheetml/2006/main" count="69" uniqueCount="69">
  <si>
    <t>STT</t>
  </si>
  <si>
    <t xml:space="preserve">Họ và tên</t>
  </si>
  <si>
    <t>Email</t>
  </si>
  <si>
    <t>SĐT</t>
  </si>
  <si>
    <t xml:space="preserve">Nguồn đăng ký</t>
  </si>
  <si>
    <t xml:space="preserve">Khóa học quan tâm</t>
  </si>
  <si>
    <t xml:space="preserve">Ngày đăng ký</t>
  </si>
  <si>
    <t xml:space="preserve">Trạng thái</t>
  </si>
  <si>
    <t>Khoa</t>
  </si>
  <si>
    <t xml:space="preserve">Điểm chuyên cần</t>
  </si>
  <si>
    <t xml:space="preserve">Nguyễn Văn An</t>
  </si>
  <si>
    <t>an.nguyen@email.com</t>
  </si>
  <si>
    <t>0912345678</t>
  </si>
  <si>
    <t>Website</t>
  </si>
  <si>
    <t xml:space="preserve">Lập trình Python</t>
  </si>
  <si>
    <t xml:space="preserve">Đã xác nhận</t>
  </si>
  <si>
    <t>CNTT</t>
  </si>
  <si>
    <t xml:space="preserve">Trần Thị Bình</t>
  </si>
  <si>
    <t>binh.tran@email.com</t>
  </si>
  <si>
    <t>0923456789</t>
  </si>
  <si>
    <t xml:space="preserve">Facebook Ads</t>
  </si>
  <si>
    <t xml:space="preserve">Thiết kế UI/UX</t>
  </si>
  <si>
    <t xml:space="preserve">Đa phương tiện</t>
  </si>
  <si>
    <t xml:space="preserve">Lê Minh Đức</t>
  </si>
  <si>
    <t>duc.le@email.com</t>
  </si>
  <si>
    <t>0934567890</t>
  </si>
  <si>
    <t xml:space="preserve">Google Form</t>
  </si>
  <si>
    <t xml:space="preserve">Data Science</t>
  </si>
  <si>
    <t xml:space="preserve">Chờ xác nhận</t>
  </si>
  <si>
    <t xml:space="preserve">Phạm Thu Hà</t>
  </si>
  <si>
    <t>ha.pham@email.com</t>
  </si>
  <si>
    <t>0945678901</t>
  </si>
  <si>
    <t xml:space="preserve">Zalo OA</t>
  </si>
  <si>
    <t xml:space="preserve">Tiếng Anh giao tiếp</t>
  </si>
  <si>
    <t xml:space="preserve">Ngoại ngữ</t>
  </si>
  <si>
    <t xml:space="preserve">Đỗ Quốc Huy</t>
  </si>
  <si>
    <t>huy.do@email.com</t>
  </si>
  <si>
    <t>0956789012</t>
  </si>
  <si>
    <t xml:space="preserve">Lập trình Web</t>
  </si>
  <si>
    <t xml:space="preserve">Vũ Thảo Linh</t>
  </si>
  <si>
    <t>linh.vu@email.com</t>
  </si>
  <si>
    <t>0967890123</t>
  </si>
  <si>
    <t xml:space="preserve">Marketing Digital</t>
  </si>
  <si>
    <t>Marketing</t>
  </si>
  <si>
    <t xml:space="preserve">Bùi Hoàng Nam</t>
  </si>
  <si>
    <t>nam.bui@email.com</t>
  </si>
  <si>
    <t>0978901234</t>
  </si>
  <si>
    <t xml:space="preserve">Excel nâng cao</t>
  </si>
  <si>
    <t xml:space="preserve">Ngô Yến Nhi</t>
  </si>
  <si>
    <t>nhi.ngo@email.com</t>
  </si>
  <si>
    <t>0989012345</t>
  </si>
  <si>
    <t xml:space="preserve">Trương Gia Bảo</t>
  </si>
  <si>
    <t>bao.truong@email.com</t>
  </si>
  <si>
    <t>0990123456</t>
  </si>
  <si>
    <t xml:space="preserve">Hoàng Mai Anh</t>
  </si>
  <si>
    <t>anh.hoang@email.com</t>
  </si>
  <si>
    <t>0901234567</t>
  </si>
  <si>
    <t xml:space="preserve">Đặng Quang Minh</t>
  </si>
  <si>
    <t>minh.dang@email.com</t>
  </si>
  <si>
    <t>0913987654</t>
  </si>
  <si>
    <t xml:space="preserve">Phan Khánh Vy</t>
  </si>
  <si>
    <t>vy.phan@email.com</t>
  </si>
  <si>
    <t>0922468135</t>
  </si>
  <si>
    <t xml:space="preserve">THỐNG KÊ HỌC VIÊN ĐĂNG KÝ</t>
  </si>
  <si>
    <t xml:space="preserve">Thống kê theo nguồn</t>
  </si>
  <si>
    <t xml:space="preserve">Số lượng</t>
  </si>
  <si>
    <t xml:space="preserve">Tỷ lệ</t>
  </si>
  <si>
    <t xml:space="preserve">Thống kê theo trạng thái</t>
  </si>
  <si>
    <t xml:space="preserve">Số liệu tính bằng công thức COUNTIF trên toàn bộ dữ liệu, không phụ thuộc bộ lọc.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</si>
</sst>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"/>
  </numFmts>
  <fonts count="7">
    <font>
      <sz val="11.000000"/>
      <color theme="1"/>
      <name val="Calibri"/>
    </font>
    <font>
      <sz val="10.000000"/>
      <name val="Arial"/>
    </font>
    <font>
      <b/>
      <sz val="11.000000"/>
      <color indexed="65"/>
      <name val="Arial"/>
    </font>
    <font>
      <b/>
      <sz val="14.000000"/>
      <color rgb="FF1B7F4B"/>
      <name val="Arial"/>
    </font>
    <font>
      <b/>
      <sz val="11.000000"/>
      <color rgb="FF1B7F4B"/>
      <name val="Arial"/>
    </font>
    <font>
      <sz val="11.000000"/>
      <name val="Arial"/>
    </font>
    <font>
      <i/>
      <sz val="9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7F4B"/>
        <bgColor indexed="21"/>
      </patternFill>
    </fill>
    <fill>
      <patternFill patternType="solid">
        <fgColor rgb="FFF1F8F4"/>
        <bgColor indexed="6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8">
    <xf fontId="0" fillId="0" borderId="0" numFmtId="0" xfId="0" applyProtection="0">
      <protection hidden="0" locked="1"/>
    </xf>
    <xf fontId="2" fillId="2" borderId="1" numFmtId="0" xfId="0" applyFont="1" applyFill="1" applyBorder="1" applyAlignment="1" applyProtection="0">
      <alignment horizontal="center" vertical="center" wrapText="1"/>
      <protection hidden="0" locked="1"/>
    </xf>
    <xf fontId="1" fillId="0" borderId="1" numFmtId="0" xfId="0" applyFont="1" applyBorder="1" applyAlignment="1" applyProtection="0">
      <alignment horizontal="center" vertical="center"/>
      <protection hidden="0" locked="1"/>
    </xf>
    <xf fontId="1" fillId="0" borderId="1" numFmtId="0" xfId="0" applyFont="1" applyBorder="1" applyAlignment="1" applyProtection="0">
      <alignment horizontal="left" vertical="center"/>
      <protection hidden="0" locked="1"/>
    </xf>
    <xf fontId="1" fillId="0" borderId="1" numFmtId="49" xfId="0" applyNumberFormat="1" applyFont="1" applyBorder="1" applyAlignment="1" applyProtection="0">
      <alignment horizontal="center" vertical="center"/>
      <protection hidden="0" locked="1"/>
    </xf>
    <xf fontId="1" fillId="0" borderId="1" numFmtId="164" xfId="0" applyNumberFormat="1" applyFont="1" applyBorder="1" applyAlignment="1" applyProtection="0">
      <alignment horizontal="center" vertical="center"/>
      <protection hidden="0" locked="1"/>
    </xf>
    <xf fontId="1" fillId="0" borderId="1" numFmtId="165" xfId="0" applyNumberFormat="1" applyFont="1" applyBorder="1" applyAlignment="1" applyProtection="0">
      <alignment horizontal="center" vertical="center"/>
      <protection hidden="0" locked="1"/>
    </xf>
    <xf fontId="1" fillId="3" borderId="1" numFmtId="0" xfId="0" applyFont="1" applyFill="1" applyBorder="1" applyAlignment="1" applyProtection="0">
      <alignment horizontal="center" vertical="center"/>
      <protection hidden="0" locked="1"/>
    </xf>
    <xf fontId="1" fillId="3" borderId="1" numFmtId="0" xfId="0" applyFont="1" applyFill="1" applyBorder="1" applyAlignment="1" applyProtection="0">
      <alignment horizontal="left" vertical="center"/>
      <protection hidden="0" locked="1"/>
    </xf>
    <xf fontId="1" fillId="3" borderId="1" numFmtId="49" xfId="0" applyNumberFormat="1" applyFont="1" applyFill="1" applyBorder="1" applyAlignment="1" applyProtection="0">
      <alignment horizontal="center" vertical="center"/>
      <protection hidden="0" locked="1"/>
    </xf>
    <xf fontId="1" fillId="3" borderId="1" numFmtId="164" xfId="0" applyNumberFormat="1" applyFont="1" applyFill="1" applyBorder="1" applyAlignment="1" applyProtection="0">
      <alignment horizontal="center" vertical="center"/>
      <protection hidden="0" locked="1"/>
    </xf>
    <xf fontId="1" fillId="3" borderId="1" numFmtId="165" xfId="0" applyNumberFormat="1" applyFont="1" applyFill="1" applyBorder="1" applyAlignment="1" applyProtection="0">
      <alignment horizontal="center" vertical="center"/>
      <protection hidden="0" locked="1"/>
    </xf>
    <xf fontId="3" fillId="0" borderId="0" numFmtId="0" xfId="0" applyFont="1" applyProtection="0">
      <protection hidden="0" locked="1"/>
    </xf>
    <xf fontId="4" fillId="0" borderId="0" numFmtId="0" xfId="0" applyFont="1" applyProtection="0">
      <protection hidden="0" locked="1"/>
    </xf>
    <xf fontId="2" fillId="2" borderId="1" numFmtId="0" xfId="0" applyFont="1" applyFill="1" applyBorder="1" applyAlignment="1" applyProtection="0">
      <alignment horizontal="center"/>
      <protection hidden="0" locked="1"/>
    </xf>
    <xf fontId="5" fillId="0" borderId="1" numFmtId="0" xfId="0" applyFont="1" applyBorder="1" applyProtection="0">
      <protection hidden="0" locked="1"/>
    </xf>
    <xf fontId="5" fillId="0" borderId="1" numFmtId="9" xfId="0" applyNumberFormat="1" applyFont="1" applyBorder="1" applyProtection="0">
      <protection hidden="0" locked="1"/>
    </xf>
    <xf fontId="6" fillId="0" borderId="0" numFmtId="0" xfId="0" applyFont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Thống kê theo trạng thái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'Thống kê'!B11</c:f>
              <c:strCache>
                <c:ptCount val="1"/>
                <c:pt idx="0">
                  <c:v>Số lượng</c:v>
                </c:pt>
              </c:strCache>
            </c:strRef>
          </c:tx>
          <c:spPr bwMode="auto">
            <a:prstGeom prst="rect">
              <a:avLst/>
            </a:prstGeom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 bwMode="auto">
              <a:prstGeom prst="rect">
                <a:avLst/>
              </a:prstGeom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 bwMode="auto">
              <a:prstGeom prst="rect">
                <a:avLst/>
              </a:prstGeom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dLblPos val="bestFit"/>
              <c:layout/>
              <c:separator xml:space="preserve">; </c:separator>
              <c:showBubbleSize val="0"/>
              <c:showCatName val="1"/>
              <c:showLegendKey val="1"/>
              <c:showPercent val="1"/>
              <c:showSerName val="1"/>
              <c:showVal val="1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/>
                </a:p>
              </c:txPr>
            </c:dLbl>
            <c:dLbl>
              <c:idx val="1"/>
              <c:dLblPos val="bestFit"/>
              <c:layout/>
              <c:separator xml:space="preserve">; </c:separator>
              <c:showBubbleSize val="0"/>
              <c:showCatName val="1"/>
              <c:showLegendKey val="1"/>
              <c:showPercent val="1"/>
              <c:showSerName val="1"/>
              <c:showVal val="1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/>
                </a:p>
              </c:txPr>
            </c:dLbl>
            <c:dLblPos val="bestFit"/>
            <c:separator xml:space="preserve">; </c:separator>
            <c:showBubbleSize val="0"/>
            <c:showCatName val="1"/>
            <c:showLeaderLines val="1"/>
            <c:showLegendKey val="1"/>
            <c:showPercent val="1"/>
            <c:showSerName val="1"/>
            <c:showVal val="1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/>
              </a:p>
            </c:txPr>
          </c:dLbls>
          <c:cat>
            <c:strRef>
              <c:f>'Thống kê'!$A$12:$A$13</c:f>
              <c:strCache>
                <c:ptCount val="2"/>
                <c:pt idx="0">
                  <c:v>Đã xác nhận</c:v>
                </c:pt>
                <c:pt idx="1">
                  <c:v>Chờ xác nhận</c:v>
                </c:pt>
              </c:strCache>
            </c:strRef>
          </c:cat>
          <c:val>
            <c:numRef>
              <c:f>'Thống kê'!$B$12:$B$13</c:f>
              <c:numCache>
                <c:formatCode>General</c:formatCode>
                <c:ptCount val="2"/>
                <c:pt idx="0">
                  <c:v>9</c:v>
                </c:pt>
                <c:pt idx="1">
                  <c:v>3</c:v>
                </c:pt>
              </c:numCache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</c:dLbls>
        <c:firstSliceAng val="0"/>
      </c:pieChart>
      <c:spPr bwMode="auto">
        <a:prstGeom prst="rect">
          <a:avLst/>
        </a:prstGeom>
        <a:noFill/>
        <a:ln w="0">
          <a:noFill/>
        </a:ln>
      </c:spPr>
    </c:plotArea>
    <c:legend>
      <c:legendPos val="r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/>
        </a:p>
      </c:txPr>
    </c:legend>
    <c:plotVisOnly val="1"/>
    <c:dispBlanksAs val="gap"/>
    <c:showDLblsOverMax val="0"/>
  </c:chart>
  <c:spPr bwMode="auto">
    <a:xfrm rot="0">
      <a:off x="3712680" y="380880"/>
      <a:ext cx="3599640" cy="251964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4</xdr:col>
      <xdr:colOff>0</xdr:colOff>
      <xdr:row>1</xdr:row>
      <xdr:rowOff>160560</xdr:rowOff>
    </xdr:from>
    <xdr:to>
      <xdr:col>9</xdr:col>
      <xdr:colOff>541799</xdr:colOff>
      <xdr:row>15</xdr:row>
      <xdr:rowOff>13320</xdr:rowOff>
    </xdr:to>
    <xdr:graphicFrame>
      <xdr:nvGraphicFramePr>
        <xdr:cNvPr id="0" name="Chart 1"/>
        <xdr:cNvGraphicFramePr>
          <a:graphicFrameLocks xmlns:a="http://schemas.openxmlformats.org/drawingml/2006/main"/>
        </xdr:cNvGraphicFramePr>
      </xdr:nvGraphicFramePr>
      <xdr:xfrm rot="0">
        <a:off x="3712680" y="380880"/>
        <a:ext cx="35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ï¼­ï¼³ æ˜Žæœ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pane ySplit="1" topLeftCell="A2" activePane="bottomLeft" state="frozen"/>
      <selection activeCell="B4" activeCellId="0" sqref="B4"/>
    </sheetView>
  </sheetViews>
  <sheetFormatPr defaultColWidth="8.6796875" defaultRowHeight="14.25"/>
  <cols>
    <col customWidth="1" min="1" max="1" style="0" width="6"/>
    <col customWidth="1" min="2" max="2" style="0" width="20"/>
    <col customWidth="1" min="3" max="3" style="0" width="26"/>
    <col customWidth="1" min="4" max="4" style="0" width="13"/>
    <col customWidth="1" min="5" max="5" style="0" width="15"/>
    <col customWidth="1" min="6" max="6" style="0" width="22"/>
    <col customWidth="1" min="7" max="7" style="0" width="13"/>
    <col customWidth="1" min="8" max="8" style="0" width="15"/>
    <col customWidth="1" min="9" max="9" style="0" width="16"/>
    <col customWidth="1" min="10" max="10" style="0" width="12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">
      <c r="A2" s="2">
        <v>1</v>
      </c>
      <c r="B2" s="3" t="s">
        <v>10</v>
      </c>
      <c r="C2" s="3" t="s">
        <v>11</v>
      </c>
      <c r="D2" s="4" t="s">
        <v>12</v>
      </c>
      <c r="E2" s="3" t="s">
        <v>13</v>
      </c>
      <c r="F2" s="3" t="s">
        <v>14</v>
      </c>
      <c r="G2" s="5">
        <v>45431</v>
      </c>
      <c r="H2" s="2" t="s">
        <v>15</v>
      </c>
      <c r="I2" s="2" t="s">
        <v>16</v>
      </c>
      <c r="J2" s="6">
        <v>6.5</v>
      </c>
    </row>
    <row r="3" ht="15">
      <c r="A3" s="7">
        <v>2</v>
      </c>
      <c r="B3" s="8" t="s">
        <v>17</v>
      </c>
      <c r="C3" s="8" t="s">
        <v>18</v>
      </c>
      <c r="D3" s="9" t="s">
        <v>19</v>
      </c>
      <c r="E3" s="8" t="s">
        <v>20</v>
      </c>
      <c r="F3" s="8" t="s">
        <v>21</v>
      </c>
      <c r="G3" s="10">
        <v>45431</v>
      </c>
      <c r="H3" s="7" t="s">
        <v>15</v>
      </c>
      <c r="I3" s="7" t="s">
        <v>22</v>
      </c>
      <c r="J3" s="11">
        <v>8</v>
      </c>
    </row>
    <row r="4" ht="15">
      <c r="A4" s="2">
        <v>3</v>
      </c>
      <c r="B4" s="3" t="s">
        <v>23</v>
      </c>
      <c r="C4" s="3" t="s">
        <v>24</v>
      </c>
      <c r="D4" s="4" t="s">
        <v>25</v>
      </c>
      <c r="E4" s="3" t="s">
        <v>26</v>
      </c>
      <c r="F4" s="3" t="s">
        <v>27</v>
      </c>
      <c r="G4" s="5">
        <v>45430</v>
      </c>
      <c r="H4" s="2" t="s">
        <v>28</v>
      </c>
      <c r="I4" s="2" t="s">
        <v>16</v>
      </c>
      <c r="J4" s="6">
        <v>5.5</v>
      </c>
    </row>
    <row r="5" ht="15">
      <c r="A5" s="7">
        <v>4</v>
      </c>
      <c r="B5" s="8" t="s">
        <v>29</v>
      </c>
      <c r="C5" s="8" t="s">
        <v>30</v>
      </c>
      <c r="D5" s="9" t="s">
        <v>31</v>
      </c>
      <c r="E5" s="8" t="s">
        <v>32</v>
      </c>
      <c r="F5" s="8" t="s">
        <v>33</v>
      </c>
      <c r="G5" s="10">
        <v>45430</v>
      </c>
      <c r="H5" s="7" t="s">
        <v>15</v>
      </c>
      <c r="I5" s="7" t="s">
        <v>34</v>
      </c>
      <c r="J5" s="11">
        <v>9</v>
      </c>
    </row>
    <row r="6" ht="15">
      <c r="A6" s="2">
        <v>5</v>
      </c>
      <c r="B6" s="3" t="s">
        <v>35</v>
      </c>
      <c r="C6" s="3" t="s">
        <v>36</v>
      </c>
      <c r="D6" s="4" t="s">
        <v>37</v>
      </c>
      <c r="E6" s="3" t="s">
        <v>13</v>
      </c>
      <c r="F6" s="3" t="s">
        <v>38</v>
      </c>
      <c r="G6" s="5">
        <v>45430</v>
      </c>
      <c r="H6" s="2" t="s">
        <v>15</v>
      </c>
      <c r="I6" s="2" t="s">
        <v>16</v>
      </c>
      <c r="J6" s="6">
        <v>8.5</v>
      </c>
    </row>
    <row r="7" ht="15">
      <c r="A7" s="7">
        <v>6</v>
      </c>
      <c r="B7" s="8" t="s">
        <v>39</v>
      </c>
      <c r="C7" s="8" t="s">
        <v>40</v>
      </c>
      <c r="D7" s="9" t="s">
        <v>41</v>
      </c>
      <c r="E7" s="8" t="s">
        <v>20</v>
      </c>
      <c r="F7" s="8" t="s">
        <v>42</v>
      </c>
      <c r="G7" s="10">
        <v>45429</v>
      </c>
      <c r="H7" s="7" t="s">
        <v>28</v>
      </c>
      <c r="I7" s="7" t="s">
        <v>43</v>
      </c>
      <c r="J7" s="11">
        <v>6</v>
      </c>
    </row>
    <row r="8" ht="15">
      <c r="A8" s="2">
        <v>7</v>
      </c>
      <c r="B8" s="3" t="s">
        <v>44</v>
      </c>
      <c r="C8" s="3" t="s">
        <v>45</v>
      </c>
      <c r="D8" s="4" t="s">
        <v>46</v>
      </c>
      <c r="E8" s="3" t="s">
        <v>26</v>
      </c>
      <c r="F8" s="3" t="s">
        <v>47</v>
      </c>
      <c r="G8" s="5">
        <v>45429</v>
      </c>
      <c r="H8" s="2" t="s">
        <v>15</v>
      </c>
      <c r="I8" s="2" t="s">
        <v>16</v>
      </c>
      <c r="J8" s="6">
        <v>6.8</v>
      </c>
    </row>
    <row r="9" ht="15">
      <c r="A9" s="7">
        <v>8</v>
      </c>
      <c r="B9" s="8" t="s">
        <v>48</v>
      </c>
      <c r="C9" s="8" t="s">
        <v>49</v>
      </c>
      <c r="D9" s="9" t="s">
        <v>50</v>
      </c>
      <c r="E9" s="8" t="s">
        <v>13</v>
      </c>
      <c r="F9" s="8" t="s">
        <v>14</v>
      </c>
      <c r="G9" s="10">
        <v>45428</v>
      </c>
      <c r="H9" s="7" t="s">
        <v>15</v>
      </c>
      <c r="I9" s="7" t="s">
        <v>16</v>
      </c>
      <c r="J9" s="11">
        <v>9.5</v>
      </c>
    </row>
    <row r="10" ht="15">
      <c r="A10" s="2">
        <v>9</v>
      </c>
      <c r="B10" s="3" t="s">
        <v>51</v>
      </c>
      <c r="C10" s="3" t="s">
        <v>52</v>
      </c>
      <c r="D10" s="4" t="s">
        <v>53</v>
      </c>
      <c r="E10" s="3" t="s">
        <v>32</v>
      </c>
      <c r="F10" s="3" t="s">
        <v>27</v>
      </c>
      <c r="G10" s="5">
        <v>45428</v>
      </c>
      <c r="H10" s="2" t="s">
        <v>28</v>
      </c>
      <c r="I10" s="2" t="s">
        <v>16</v>
      </c>
      <c r="J10" s="6">
        <v>4.5</v>
      </c>
    </row>
    <row r="11" ht="15">
      <c r="A11" s="7">
        <v>10</v>
      </c>
      <c r="B11" s="8" t="s">
        <v>54</v>
      </c>
      <c r="C11" s="8" t="s">
        <v>55</v>
      </c>
      <c r="D11" s="9" t="s">
        <v>56</v>
      </c>
      <c r="E11" s="8" t="s">
        <v>20</v>
      </c>
      <c r="F11" s="8" t="s">
        <v>21</v>
      </c>
      <c r="G11" s="10">
        <v>45428</v>
      </c>
      <c r="H11" s="7" t="s">
        <v>15</v>
      </c>
      <c r="I11" s="7" t="s">
        <v>22</v>
      </c>
      <c r="J11" s="11">
        <v>7.5</v>
      </c>
    </row>
    <row r="12" ht="15">
      <c r="A12" s="2">
        <v>11</v>
      </c>
      <c r="B12" s="3" t="s">
        <v>57</v>
      </c>
      <c r="C12" s="3" t="s">
        <v>58</v>
      </c>
      <c r="D12" s="4" t="s">
        <v>59</v>
      </c>
      <c r="E12" s="3" t="s">
        <v>26</v>
      </c>
      <c r="F12" s="3" t="s">
        <v>38</v>
      </c>
      <c r="G12" s="5">
        <v>45428</v>
      </c>
      <c r="H12" s="2" t="s">
        <v>15</v>
      </c>
      <c r="I12" s="2" t="s">
        <v>16</v>
      </c>
      <c r="J12" s="6">
        <v>7</v>
      </c>
    </row>
    <row r="13" ht="15">
      <c r="A13" s="7">
        <v>12</v>
      </c>
      <c r="B13" s="8" t="s">
        <v>60</v>
      </c>
      <c r="C13" s="8" t="s">
        <v>61</v>
      </c>
      <c r="D13" s="9" t="s">
        <v>62</v>
      </c>
      <c r="E13" s="8" t="s">
        <v>13</v>
      </c>
      <c r="F13" s="8" t="s">
        <v>42</v>
      </c>
      <c r="G13" s="10">
        <v>45427</v>
      </c>
      <c r="H13" s="7" t="s">
        <v>15</v>
      </c>
      <c r="I13" s="7" t="s">
        <v>43</v>
      </c>
      <c r="J13" s="11">
        <v>8</v>
      </c>
    </row>
  </sheetData>
  <autoFilter ref="A1:J13"/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1" style="0" width="22"/>
    <col customWidth="1" min="2" max="2" style="0" width="12"/>
    <col customWidth="1" min="3" max="3" style="0" width="10"/>
  </cols>
  <sheetData>
    <row r="1" ht="17.350000000000001">
      <c r="A1" s="12" t="s">
        <v>63</v>
      </c>
    </row>
    <row r="3" ht="15">
      <c r="A3" s="13" t="s">
        <v>64</v>
      </c>
    </row>
    <row r="4" ht="15">
      <c r="A4" s="14" t="s">
        <v>4</v>
      </c>
      <c r="B4" s="14" t="s">
        <v>65</v>
      </c>
      <c r="C4" s="14" t="s">
        <v>66</v>
      </c>
    </row>
    <row r="5" ht="15">
      <c r="A5" s="15" t="s">
        <v>13</v>
      </c>
      <c r="B5" s="15">
        <f>COUNTIF('Danh sách học viên'!$E$2:$E$13,A5)</f>
        <v>4</v>
      </c>
      <c r="C5" s="16">
        <f>B5/COUNTA('Danh sách học viên'!$B$2:$B$13)</f>
        <v>0.333333333333333</v>
      </c>
    </row>
    <row r="6" ht="15">
      <c r="A6" s="15" t="s">
        <v>20</v>
      </c>
      <c r="B6" s="15">
        <f>COUNTIF('Danh sách học viên'!$E$2:$E$13,A6)</f>
        <v>3</v>
      </c>
      <c r="C6" s="16">
        <f>B6/COUNTA('Danh sách học viên'!$B$2:$B$13)</f>
        <v>0.25</v>
      </c>
    </row>
    <row r="7" ht="15">
      <c r="A7" s="15" t="s">
        <v>26</v>
      </c>
      <c r="B7" s="15">
        <f>COUNTIF('Danh sách học viên'!$E$2:$E$13,A7)</f>
        <v>3</v>
      </c>
      <c r="C7" s="16">
        <f>B7/COUNTA('Danh sách học viên'!$B$2:$B$13)</f>
        <v>0.25</v>
      </c>
    </row>
    <row r="8" ht="15">
      <c r="A8" s="15" t="s">
        <v>32</v>
      </c>
      <c r="B8" s="15">
        <f>COUNTIF('Danh sách học viên'!$E$2:$E$13,A8)</f>
        <v>2</v>
      </c>
      <c r="C8" s="16">
        <f>B8/COUNTA('Danh sách học viên'!$B$2:$B$13)</f>
        <v>0.166666666666667</v>
      </c>
    </row>
    <row r="10" ht="15">
      <c r="A10" s="13" t="s">
        <v>67</v>
      </c>
    </row>
    <row r="11" ht="15">
      <c r="A11" s="14" t="s">
        <v>7</v>
      </c>
      <c r="B11" s="14" t="s">
        <v>65</v>
      </c>
      <c r="C11" s="14" t="s">
        <v>66</v>
      </c>
    </row>
    <row r="12" ht="15">
      <c r="A12" s="15" t="s">
        <v>15</v>
      </c>
      <c r="B12" s="15">
        <f>COUNTIF('Danh sách học viên'!$H$2:$H$13,A12)</f>
        <v>9</v>
      </c>
      <c r="C12" s="16">
        <f>B12/COUNTA('Danh sách học viên'!$B$2:$B$13)</f>
        <v>0.75</v>
      </c>
    </row>
    <row r="13" ht="15">
      <c r="A13" s="15" t="s">
        <v>28</v>
      </c>
      <c r="B13" s="15">
        <f>COUNTIF('Danh sách học viên'!$H$2:$H$13,A13)</f>
        <v>3</v>
      </c>
      <c r="C13" s="16">
        <f>B13/COUNTA('Danh sách học viên'!$B$2:$B$13)</f>
        <v>0.25</v>
      </c>
    </row>
    <row r="14" ht="15">
      <c r="A14" s="17" t="s">
        <v>68</v>
      </c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ONLYOFFICE/10.0.0.169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2</cp:revision>
  <dcterms:created xsi:type="dcterms:W3CDTF">2026-10-26T22:14:21Z</dcterms:created>
  <dcterms:modified xsi:type="dcterms:W3CDTF">2026-10-26T22:49:02Z</dcterms:modified>
</cp:coreProperties>
</file>